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d104b99b098be4/ECOLES/CESI/COURS/ESA/2024-2025/0_SUPPORT_COURS/MAALSI24_REIMS/INFAL105_Strategie/"/>
    </mc:Choice>
  </mc:AlternateContent>
  <xr:revisionPtr revIDLastSave="31" documentId="8_{6E92C5DA-1D86-4975-8CAC-A57F2851C23B}" xr6:coauthVersionLast="47" xr6:coauthVersionMax="47" xr10:uidLastSave="{C0433ED5-C5ED-43C7-8980-2C45CF73BD7D}"/>
  <bookViews>
    <workbookView xWindow="-28920" yWindow="-120" windowWidth="29040" windowHeight="15720" xr2:uid="{B6F6386F-5D76-4294-B515-14C18501B8E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J13" i="1"/>
  <c r="L13" i="1"/>
  <c r="H14" i="1"/>
  <c r="J14" i="1"/>
  <c r="L14" i="1"/>
  <c r="X23" i="1"/>
  <c r="L24" i="1"/>
  <c r="L25" i="1"/>
  <c r="L26" i="1"/>
  <c r="L27" i="1"/>
  <c r="L28" i="1"/>
  <c r="L29" i="1"/>
  <c r="L30" i="1"/>
  <c r="L31" i="1"/>
  <c r="L23" i="1"/>
  <c r="J24" i="1"/>
  <c r="J25" i="1"/>
  <c r="J26" i="1"/>
  <c r="J27" i="1"/>
  <c r="J28" i="1"/>
  <c r="J29" i="1"/>
  <c r="J30" i="1"/>
  <c r="J31" i="1"/>
  <c r="J23" i="1"/>
  <c r="H24" i="1"/>
  <c r="H25" i="1"/>
  <c r="H26" i="1"/>
  <c r="H27" i="1"/>
  <c r="H28" i="1"/>
  <c r="H29" i="1"/>
  <c r="H30" i="1"/>
  <c r="H31" i="1"/>
  <c r="H23" i="1"/>
  <c r="L12" i="1"/>
  <c r="L15" i="1"/>
  <c r="L16" i="1"/>
  <c r="L17" i="1"/>
  <c r="L11" i="1"/>
  <c r="J12" i="1"/>
  <c r="J15" i="1"/>
  <c r="J16" i="1"/>
  <c r="J17" i="1"/>
  <c r="J11" i="1"/>
  <c r="H12" i="1"/>
  <c r="H15" i="1"/>
  <c r="H16" i="1"/>
  <c r="H17" i="1"/>
  <c r="H11" i="1"/>
  <c r="L33" i="1" l="1"/>
  <c r="J33" i="1"/>
  <c r="H33" i="1"/>
  <c r="J19" i="1"/>
  <c r="L19" i="1"/>
  <c r="H19" i="1"/>
</calcChain>
</file>

<file path=xl/sharedStrings.xml><?xml version="1.0" encoding="utf-8"?>
<sst xmlns="http://schemas.openxmlformats.org/spreadsheetml/2006/main" count="79" uniqueCount="52">
  <si>
    <t>Angular</t>
  </si>
  <si>
    <t>VueJS</t>
  </si>
  <si>
    <t>ReactJS</t>
  </si>
  <si>
    <t>Critère</t>
  </si>
  <si>
    <t>Critères</t>
  </si>
  <si>
    <t>Popularité</t>
  </si>
  <si>
    <t>Documentation</t>
  </si>
  <si>
    <t>Extensibilité</t>
  </si>
  <si>
    <t>Fiabilité</t>
  </si>
  <si>
    <t>Update</t>
  </si>
  <si>
    <t>Ressources Lourdes</t>
  </si>
  <si>
    <t>Pondération</t>
  </si>
  <si>
    <t>Notation de 1 à 5</t>
  </si>
  <si>
    <t>Performance</t>
  </si>
  <si>
    <t>Azure</t>
  </si>
  <si>
    <t>AWS</t>
  </si>
  <si>
    <t>Coût</t>
  </si>
  <si>
    <t>Disponibilité (Zones)</t>
  </si>
  <si>
    <t>User Friendly</t>
  </si>
  <si>
    <t>Qualité</t>
  </si>
  <si>
    <t>Sécurité</t>
  </si>
  <si>
    <t>Condition de sortie</t>
  </si>
  <si>
    <t>Juridique (RGPD, HDS, etc)</t>
  </si>
  <si>
    <t>Impact Environnementale</t>
  </si>
  <si>
    <t>Roger</t>
  </si>
  <si>
    <t>Marcel</t>
  </si>
  <si>
    <t>Paul</t>
  </si>
  <si>
    <t>GitHub</t>
  </si>
  <si>
    <t>CI/CD</t>
  </si>
  <si>
    <t>MS</t>
  </si>
  <si>
    <t>pas de connaissance</t>
  </si>
  <si>
    <t>pas utilisé</t>
  </si>
  <si>
    <t>utilisé ou vue</t>
  </si>
  <si>
    <t>utilise</t>
  </si>
  <si>
    <t>maîtrise totale</t>
  </si>
  <si>
    <t>Type</t>
  </si>
  <si>
    <t>Nom</t>
  </si>
  <si>
    <t>Catego</t>
  </si>
  <si>
    <t>Intitulé</t>
  </si>
  <si>
    <t>Lieu</t>
  </si>
  <si>
    <t>H</t>
  </si>
  <si>
    <t>Budget</t>
  </si>
  <si>
    <t>Medium</t>
  </si>
  <si>
    <t>Dev</t>
  </si>
  <si>
    <t>Github</t>
  </si>
  <si>
    <t>Obligatoire</t>
  </si>
  <si>
    <t>Intra</t>
  </si>
  <si>
    <t>intra</t>
  </si>
  <si>
    <t>Option</t>
  </si>
  <si>
    <t>Extra</t>
  </si>
  <si>
    <t>Cadre</t>
  </si>
  <si>
    <t>GCE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</si>
</sst>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3" borderId="0" xfId="0" applyFont="1" applyFill="1"/>
    <xf numFmtId="0" fontId="1" fillId="0" borderId="1" xfId="0" applyFont="1" applyBorder="1"/>
    <xf numFmtId="0" fontId="1" fillId="0" borderId="3" xfId="0" applyFont="1" applyBorder="1"/>
    <xf numFmtId="0" fontId="0" fillId="4" borderId="4" xfId="0" applyFill="1" applyBorder="1"/>
    <xf numFmtId="0" fontId="0" fillId="4" borderId="5" xfId="0" applyFill="1" applyBorder="1"/>
    <xf numFmtId="0" fontId="0" fillId="4" borderId="0" xfId="0" applyFill="1"/>
    <xf numFmtId="0" fontId="0" fillId="4" borderId="1" xfId="0" applyFill="1" applyBorder="1"/>
    <xf numFmtId="0" fontId="0" fillId="4" borderId="13" xfId="0" applyFill="1" applyBorder="1"/>
    <xf numFmtId="0" fontId="0" fillId="4" borderId="2" xfId="0" applyFill="1" applyBorder="1"/>
    <xf numFmtId="0" fontId="0" fillId="4" borderId="11" xfId="0" applyFill="1" applyBorder="1"/>
    <xf numFmtId="0" fontId="0" fillId="4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0" xfId="0" applyFill="1"/>
    <xf numFmtId="0" fontId="0" fillId="5" borderId="14" xfId="0" applyFill="1" applyBorder="1"/>
    <xf numFmtId="0" fontId="0" fillId="5" borderId="12" xfId="0" applyFill="1" applyBorder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983A8-600C-4F0E-87CA-37B7921E7A0D}">
  <dimension ref="D5:X33"/>
  <sheetViews>
    <sheetView tabSelected="1" topLeftCell="E5" zoomScale="150" zoomScaleNormal="150" workbookViewId="0">
      <selection activeCell="V8" sqref="V8"/>
    </sheetView>
  </sheetViews>
  <sheetFormatPr baseColWidth="10" defaultRowHeight="14.25"/>
  <cols>
    <col min="4" max="4" width="28.5" customWidth="1"/>
    <col min="5" max="5" width="15.5" customWidth="1"/>
    <col min="6" max="6" width="2.25" customWidth="1"/>
    <col min="7" max="12" width="6.625" customWidth="1"/>
    <col min="13" max="13" width="3.75" customWidth="1"/>
    <col min="14" max="15" width="2.375" customWidth="1"/>
    <col min="23" max="23" width="3.875" customWidth="1"/>
  </cols>
  <sheetData>
    <row r="5" spans="4:24">
      <c r="Q5">
        <v>1</v>
      </c>
      <c r="R5" t="s">
        <v>30</v>
      </c>
    </row>
    <row r="6" spans="4:24">
      <c r="Q6">
        <v>2</v>
      </c>
      <c r="R6" t="s">
        <v>31</v>
      </c>
    </row>
    <row r="7" spans="4:24">
      <c r="D7" t="s">
        <v>12</v>
      </c>
      <c r="Q7">
        <v>3</v>
      </c>
      <c r="R7" t="s">
        <v>32</v>
      </c>
    </row>
    <row r="8" spans="4:24">
      <c r="Q8">
        <v>4</v>
      </c>
      <c r="R8" t="s">
        <v>33</v>
      </c>
    </row>
    <row r="9" spans="4:24" ht="15" thickBot="1">
      <c r="Q9">
        <v>5</v>
      </c>
      <c r="R9" t="s">
        <v>34</v>
      </c>
    </row>
    <row r="10" spans="4:24" ht="15.75" thickBot="1">
      <c r="D10" s="8" t="s">
        <v>4</v>
      </c>
      <c r="E10" s="9" t="s">
        <v>11</v>
      </c>
      <c r="F10" s="7"/>
      <c r="G10" s="26" t="s">
        <v>0</v>
      </c>
      <c r="H10" s="27"/>
      <c r="I10" s="27" t="s">
        <v>1</v>
      </c>
      <c r="J10" s="27"/>
      <c r="K10" s="27" t="s">
        <v>2</v>
      </c>
      <c r="L10" s="28"/>
    </row>
    <row r="11" spans="4:24">
      <c r="D11" s="10" t="s">
        <v>5</v>
      </c>
      <c r="E11" s="11">
        <v>3</v>
      </c>
      <c r="F11" s="12"/>
      <c r="G11" s="13">
        <v>5</v>
      </c>
      <c r="H11" s="14">
        <f>G11*E11</f>
        <v>15</v>
      </c>
      <c r="I11" s="15">
        <v>5</v>
      </c>
      <c r="J11" s="15">
        <f>I11*E11</f>
        <v>15</v>
      </c>
      <c r="K11" s="16">
        <v>5</v>
      </c>
      <c r="L11" s="17">
        <f>K11*E11</f>
        <v>15</v>
      </c>
      <c r="Q11" t="s">
        <v>14</v>
      </c>
      <c r="R11" t="s">
        <v>27</v>
      </c>
      <c r="S11" s="24" t="s">
        <v>28</v>
      </c>
      <c r="T11" t="s">
        <v>29</v>
      </c>
      <c r="U11" t="s">
        <v>0</v>
      </c>
    </row>
    <row r="12" spans="4:24" ht="15" thickBot="1">
      <c r="D12" s="18" t="s">
        <v>6</v>
      </c>
      <c r="E12" s="19">
        <v>4</v>
      </c>
      <c r="F12" s="20"/>
      <c r="G12" s="18">
        <v>5</v>
      </c>
      <c r="H12" s="21">
        <f t="shared" ref="H12:H17" si="0">G12*E12</f>
        <v>20</v>
      </c>
      <c r="I12" s="20">
        <v>4</v>
      </c>
      <c r="J12" s="20">
        <f t="shared" ref="J12:J17" si="1">I12*E12</f>
        <v>16</v>
      </c>
      <c r="K12" s="22">
        <v>4</v>
      </c>
      <c r="L12" s="19">
        <f t="shared" ref="L12:L17" si="2">K12*E12</f>
        <v>16</v>
      </c>
      <c r="P12" t="s">
        <v>24</v>
      </c>
      <c r="Q12">
        <v>3</v>
      </c>
      <c r="R12" s="1">
        <v>1</v>
      </c>
      <c r="S12" s="1">
        <v>1</v>
      </c>
      <c r="T12">
        <v>3</v>
      </c>
      <c r="U12">
        <v>5</v>
      </c>
    </row>
    <row r="13" spans="4:24">
      <c r="D13" s="10" t="s">
        <v>7</v>
      </c>
      <c r="E13" s="11">
        <v>3</v>
      </c>
      <c r="F13" s="12"/>
      <c r="G13" s="13">
        <v>5</v>
      </c>
      <c r="H13" s="14">
        <f t="shared" si="0"/>
        <v>15</v>
      </c>
      <c r="I13" s="15">
        <v>3</v>
      </c>
      <c r="J13" s="15">
        <f t="shared" si="1"/>
        <v>9</v>
      </c>
      <c r="K13" s="16">
        <v>3</v>
      </c>
      <c r="L13" s="17">
        <f t="shared" si="2"/>
        <v>9</v>
      </c>
      <c r="P13" t="s">
        <v>25</v>
      </c>
      <c r="Q13">
        <v>1</v>
      </c>
      <c r="R13" s="1">
        <v>1</v>
      </c>
      <c r="S13" s="1">
        <v>1</v>
      </c>
      <c r="T13" s="1">
        <v>1</v>
      </c>
      <c r="U13">
        <v>4</v>
      </c>
    </row>
    <row r="14" spans="4:24" ht="15" thickBot="1">
      <c r="D14" s="18" t="s">
        <v>8</v>
      </c>
      <c r="E14" s="19">
        <v>5</v>
      </c>
      <c r="F14" s="20"/>
      <c r="G14" s="18">
        <v>5</v>
      </c>
      <c r="H14" s="21">
        <f t="shared" si="0"/>
        <v>25</v>
      </c>
      <c r="I14" s="20">
        <v>4</v>
      </c>
      <c r="J14" s="20">
        <f t="shared" si="1"/>
        <v>20</v>
      </c>
      <c r="K14" s="22">
        <v>4</v>
      </c>
      <c r="L14" s="19">
        <f t="shared" si="2"/>
        <v>20</v>
      </c>
      <c r="P14" t="s">
        <v>26</v>
      </c>
      <c r="Q14">
        <v>4</v>
      </c>
      <c r="R14">
        <v>3</v>
      </c>
      <c r="S14" s="1">
        <v>1</v>
      </c>
      <c r="T14">
        <v>5</v>
      </c>
      <c r="U14" s="1">
        <v>1</v>
      </c>
    </row>
    <row r="15" spans="4:24">
      <c r="D15" s="10" t="s">
        <v>9</v>
      </c>
      <c r="E15" s="11">
        <v>5</v>
      </c>
      <c r="F15" s="12"/>
      <c r="G15" s="13">
        <v>3</v>
      </c>
      <c r="H15" s="14">
        <f t="shared" si="0"/>
        <v>15</v>
      </c>
      <c r="I15" s="15">
        <v>4</v>
      </c>
      <c r="J15" s="15">
        <f t="shared" si="1"/>
        <v>20</v>
      </c>
      <c r="K15" s="16">
        <v>4</v>
      </c>
      <c r="L15" s="17">
        <f t="shared" si="2"/>
        <v>20</v>
      </c>
    </row>
    <row r="16" spans="4:24" ht="15" thickBot="1">
      <c r="D16" s="18" t="s">
        <v>13</v>
      </c>
      <c r="E16" s="19">
        <v>4</v>
      </c>
      <c r="F16" s="20"/>
      <c r="G16" s="18">
        <v>5</v>
      </c>
      <c r="H16" s="21">
        <f t="shared" si="0"/>
        <v>20</v>
      </c>
      <c r="I16" s="20">
        <v>3</v>
      </c>
      <c r="J16" s="20">
        <f t="shared" si="1"/>
        <v>12</v>
      </c>
      <c r="K16" s="22">
        <v>4</v>
      </c>
      <c r="L16" s="19">
        <f t="shared" si="2"/>
        <v>16</v>
      </c>
      <c r="P16" t="s">
        <v>35</v>
      </c>
      <c r="Q16" t="s">
        <v>36</v>
      </c>
      <c r="R16" t="s">
        <v>37</v>
      </c>
      <c r="S16" t="s">
        <v>38</v>
      </c>
      <c r="T16" t="s">
        <v>37</v>
      </c>
      <c r="U16" t="s">
        <v>42</v>
      </c>
      <c r="V16" t="s">
        <v>39</v>
      </c>
      <c r="W16" t="s">
        <v>40</v>
      </c>
      <c r="X16" t="s">
        <v>41</v>
      </c>
    </row>
    <row r="17" spans="4:24">
      <c r="D17" s="10" t="s">
        <v>10</v>
      </c>
      <c r="E17" s="11">
        <v>5</v>
      </c>
      <c r="F17" s="12"/>
      <c r="G17" s="13">
        <v>5</v>
      </c>
      <c r="H17" s="14">
        <f t="shared" si="0"/>
        <v>25</v>
      </c>
      <c r="I17" s="15">
        <v>2</v>
      </c>
      <c r="J17" s="15">
        <f t="shared" si="1"/>
        <v>10</v>
      </c>
      <c r="K17" s="16">
        <v>5</v>
      </c>
      <c r="L17" s="17">
        <f t="shared" si="2"/>
        <v>25</v>
      </c>
      <c r="Q17" t="s">
        <v>24</v>
      </c>
      <c r="R17" t="s">
        <v>43</v>
      </c>
      <c r="S17" t="s">
        <v>44</v>
      </c>
      <c r="T17" t="s">
        <v>45</v>
      </c>
      <c r="U17" t="s">
        <v>46</v>
      </c>
      <c r="W17">
        <v>30</v>
      </c>
      <c r="X17">
        <v>1000</v>
      </c>
    </row>
    <row r="18" spans="4:24">
      <c r="Q18" t="s">
        <v>24</v>
      </c>
      <c r="R18" t="s">
        <v>43</v>
      </c>
      <c r="S18" t="s">
        <v>28</v>
      </c>
      <c r="T18" t="s">
        <v>45</v>
      </c>
      <c r="U18" t="s">
        <v>47</v>
      </c>
      <c r="W18">
        <v>15</v>
      </c>
      <c r="X18">
        <v>500</v>
      </c>
    </row>
    <row r="19" spans="4:24">
      <c r="H19" s="23">
        <f>SUM(H11:H17)</f>
        <v>135</v>
      </c>
      <c r="J19" s="24">
        <f>SUM(J11:J17)</f>
        <v>102</v>
      </c>
      <c r="L19" s="1">
        <f>SUM(L11:L17)</f>
        <v>121</v>
      </c>
      <c r="Q19" t="s">
        <v>25</v>
      </c>
      <c r="R19" t="s">
        <v>43</v>
      </c>
      <c r="S19" t="s">
        <v>44</v>
      </c>
      <c r="T19" t="s">
        <v>45</v>
      </c>
      <c r="U19" t="s">
        <v>46</v>
      </c>
      <c r="W19">
        <v>30</v>
      </c>
      <c r="X19">
        <v>1000</v>
      </c>
    </row>
    <row r="20" spans="4:24">
      <c r="Q20" t="s">
        <v>25</v>
      </c>
      <c r="R20" t="s">
        <v>43</v>
      </c>
      <c r="S20" t="s">
        <v>28</v>
      </c>
      <c r="T20" t="s">
        <v>45</v>
      </c>
      <c r="U20" t="s">
        <v>46</v>
      </c>
      <c r="W20">
        <v>15</v>
      </c>
      <c r="X20">
        <v>500</v>
      </c>
    </row>
    <row r="21" spans="4:24" ht="15" thickBot="1">
      <c r="Q21" t="s">
        <v>25</v>
      </c>
      <c r="R21" t="s">
        <v>43</v>
      </c>
      <c r="S21" t="s">
        <v>29</v>
      </c>
      <c r="T21" t="s">
        <v>48</v>
      </c>
      <c r="U21" t="s">
        <v>49</v>
      </c>
      <c r="W21">
        <v>17</v>
      </c>
      <c r="X21">
        <v>750</v>
      </c>
    </row>
    <row r="22" spans="4:24" ht="15">
      <c r="D22" s="2" t="s">
        <v>3</v>
      </c>
      <c r="E22" s="2" t="s">
        <v>11</v>
      </c>
      <c r="F22" s="2"/>
      <c r="G22" s="29" t="s">
        <v>14</v>
      </c>
      <c r="H22" s="30"/>
      <c r="I22" s="29" t="s">
        <v>15</v>
      </c>
      <c r="J22" s="30"/>
      <c r="K22" s="29" t="s">
        <v>51</v>
      </c>
      <c r="L22" s="30"/>
      <c r="Q22" t="s">
        <v>26</v>
      </c>
      <c r="R22" t="s">
        <v>50</v>
      </c>
      <c r="S22" t="s">
        <v>28</v>
      </c>
      <c r="T22" t="s">
        <v>48</v>
      </c>
      <c r="U22" t="s">
        <v>46</v>
      </c>
      <c r="W22">
        <v>4</v>
      </c>
      <c r="X22">
        <v>0</v>
      </c>
    </row>
    <row r="23" spans="4:24">
      <c r="D23" t="s">
        <v>16</v>
      </c>
      <c r="E23">
        <v>5</v>
      </c>
      <c r="G23" s="3">
        <v>3</v>
      </c>
      <c r="H23" s="4">
        <f>G23*E23</f>
        <v>15</v>
      </c>
      <c r="I23" s="3">
        <v>3</v>
      </c>
      <c r="J23" s="4">
        <f>I23*E23</f>
        <v>15</v>
      </c>
      <c r="K23" s="3">
        <v>4</v>
      </c>
      <c r="L23" s="4">
        <f>K23*E23</f>
        <v>20</v>
      </c>
      <c r="X23">
        <f>SUM(X17:X22)</f>
        <v>3750</v>
      </c>
    </row>
    <row r="24" spans="4:24">
      <c r="D24" t="s">
        <v>17</v>
      </c>
      <c r="E24">
        <v>3</v>
      </c>
      <c r="G24" s="3">
        <v>5</v>
      </c>
      <c r="H24" s="4">
        <f t="shared" ref="H24:H31" si="3">G24*E24</f>
        <v>15</v>
      </c>
      <c r="I24" s="3">
        <v>5</v>
      </c>
      <c r="J24" s="4">
        <f t="shared" ref="J24:J31" si="4">I24*E24</f>
        <v>15</v>
      </c>
      <c r="K24" s="3">
        <v>3</v>
      </c>
      <c r="L24" s="4">
        <f t="shared" ref="L24:L31" si="5">K24*E24</f>
        <v>9</v>
      </c>
    </row>
    <row r="25" spans="4:24">
      <c r="D25" t="s">
        <v>18</v>
      </c>
      <c r="E25">
        <v>4</v>
      </c>
      <c r="G25" s="3">
        <v>3</v>
      </c>
      <c r="H25" s="4">
        <f t="shared" si="3"/>
        <v>12</v>
      </c>
      <c r="I25" s="3">
        <v>2</v>
      </c>
      <c r="J25" s="4">
        <f t="shared" si="4"/>
        <v>8</v>
      </c>
      <c r="K25" s="3">
        <v>3</v>
      </c>
      <c r="L25" s="4">
        <f t="shared" si="5"/>
        <v>12</v>
      </c>
    </row>
    <row r="26" spans="4:24">
      <c r="D26" t="s">
        <v>6</v>
      </c>
      <c r="E26">
        <v>3</v>
      </c>
      <c r="G26" s="3">
        <v>3</v>
      </c>
      <c r="H26" s="4">
        <f t="shared" si="3"/>
        <v>9</v>
      </c>
      <c r="I26" s="3">
        <v>4</v>
      </c>
      <c r="J26" s="4">
        <f t="shared" si="4"/>
        <v>12</v>
      </c>
      <c r="K26" s="3">
        <v>3</v>
      </c>
      <c r="L26" s="4">
        <f t="shared" si="5"/>
        <v>9</v>
      </c>
    </row>
    <row r="27" spans="4:24">
      <c r="D27" t="s">
        <v>19</v>
      </c>
      <c r="E27">
        <v>5</v>
      </c>
      <c r="G27" s="3">
        <v>5</v>
      </c>
      <c r="H27" s="4">
        <f t="shared" si="3"/>
        <v>25</v>
      </c>
      <c r="I27" s="3">
        <v>5</v>
      </c>
      <c r="J27" s="4">
        <f t="shared" si="4"/>
        <v>25</v>
      </c>
      <c r="K27" s="3">
        <v>5</v>
      </c>
      <c r="L27" s="4">
        <f t="shared" si="5"/>
        <v>25</v>
      </c>
    </row>
    <row r="28" spans="4:24">
      <c r="D28" t="s">
        <v>20</v>
      </c>
      <c r="E28">
        <v>5</v>
      </c>
      <c r="G28" s="3">
        <v>4</v>
      </c>
      <c r="H28" s="4">
        <f t="shared" si="3"/>
        <v>20</v>
      </c>
      <c r="I28" s="3">
        <v>3</v>
      </c>
      <c r="J28" s="4">
        <f t="shared" si="4"/>
        <v>15</v>
      </c>
      <c r="K28" s="3">
        <v>4</v>
      </c>
      <c r="L28" s="4">
        <f t="shared" si="5"/>
        <v>20</v>
      </c>
    </row>
    <row r="29" spans="4:24">
      <c r="D29" t="s">
        <v>21</v>
      </c>
      <c r="E29">
        <v>5</v>
      </c>
      <c r="G29" s="3">
        <v>4</v>
      </c>
      <c r="H29" s="4">
        <f t="shared" si="3"/>
        <v>20</v>
      </c>
      <c r="I29" s="3">
        <v>2</v>
      </c>
      <c r="J29" s="4">
        <f t="shared" si="4"/>
        <v>10</v>
      </c>
      <c r="K29" s="3">
        <v>4</v>
      </c>
      <c r="L29" s="4">
        <f t="shared" si="5"/>
        <v>20</v>
      </c>
    </row>
    <row r="30" spans="4:24">
      <c r="D30" t="s">
        <v>22</v>
      </c>
      <c r="E30">
        <v>5</v>
      </c>
      <c r="G30" s="3">
        <v>4</v>
      </c>
      <c r="H30" s="4">
        <f t="shared" si="3"/>
        <v>20</v>
      </c>
      <c r="I30" s="3">
        <v>4</v>
      </c>
      <c r="J30" s="4">
        <f t="shared" si="4"/>
        <v>20</v>
      </c>
      <c r="K30" s="3">
        <v>4</v>
      </c>
      <c r="L30" s="4">
        <f t="shared" si="5"/>
        <v>20</v>
      </c>
    </row>
    <row r="31" spans="4:24" ht="15" thickBot="1">
      <c r="D31" t="s">
        <v>23</v>
      </c>
      <c r="E31">
        <v>2</v>
      </c>
      <c r="G31" s="5">
        <v>3</v>
      </c>
      <c r="H31" s="6">
        <f t="shared" si="3"/>
        <v>6</v>
      </c>
      <c r="I31" s="5">
        <v>3</v>
      </c>
      <c r="J31" s="6">
        <f t="shared" si="4"/>
        <v>6</v>
      </c>
      <c r="K31" s="5">
        <v>3</v>
      </c>
      <c r="L31" s="6">
        <f t="shared" si="5"/>
        <v>6</v>
      </c>
    </row>
    <row r="33" spans="8:12">
      <c r="H33" s="25">
        <f>SUM(H23:H31)</f>
        <v>142</v>
      </c>
      <c r="J33" s="24">
        <f>SUM(J23:J31)</f>
        <v>126</v>
      </c>
      <c r="L33" s="1">
        <f>SUM(L23:L31)</f>
        <v>141</v>
      </c>
    </row>
  </sheetData>
  <mergeCells count="6">
    <mergeCell ref="G10:H10"/>
    <mergeCell ref="I10:J10"/>
    <mergeCell ref="K10:L10"/>
    <mergeCell ref="G22:H22"/>
    <mergeCell ref="I22:J22"/>
    <mergeCell ref="K22:L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ATNIUM</dc:creator>
  <cp:lastModifiedBy>Florian ATNIUM</cp:lastModifiedBy>
  <dcterms:created xsi:type="dcterms:W3CDTF">2025-01-02T10:11:36Z</dcterms:created>
  <dcterms:modified xsi:type="dcterms:W3CDTF">2026-01-08T09:49:59Z</dcterms:modified>
</cp:coreProperties>
</file>